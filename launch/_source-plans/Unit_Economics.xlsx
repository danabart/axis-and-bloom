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amp; Margin" sheetId="1" state="visible" r:id="rId3"/>
    <sheet name="Launch Scenari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<sst xmlns="http://schemas.openxmlformats.org/spreadsheetml/2006/main" count="76" uniqueCount="73">
  <si>
    <t xml:space="preserve">AXIS &amp; BLOOM — UNIT ECONOMICS</t>
  </si>
  <si>
    <t xml:space="preserve">Fill the BLUE cells (yellow = decide at the Aug 8 pricing workshop). Black cells are formulas — do not type over them.</t>
  </si>
  <si>
    <t xml:space="preserve">PRICE (workshop decision)</t>
  </si>
  <si>
    <t xml:space="preserve">Price per bag (12 oz)</t>
  </si>
  <si>
    <t xml:space="preserve">Recommended structure: $34 with shipping included; site default was $38</t>
  </si>
  <si>
    <t xml:space="preserve">Shipping charged to customer</t>
  </si>
  <si>
    <t xml:space="preserve">0 = shipping included in price</t>
  </si>
  <si>
    <t xml:space="preserve">SUPPLIER LANDED COSTS (Dana, Jul 16)</t>
  </si>
  <si>
    <t xml:space="preserve">Temecula — unified cost per bag (shipping incl.)</t>
  </si>
  <si>
    <t xml:space="preserve">Dana: $14–17 unified — midpoint used</t>
  </si>
  <si>
    <t xml:space="preserve">PATH — bag cost</t>
  </si>
  <si>
    <t xml:space="preserve">PLACEHOLDER — PATH prices bag + shipping separately; confirm both</t>
  </si>
  <si>
    <t xml:space="preserve">PATH — shipping per shipment</t>
  </si>
  <si>
    <t xml:space="preserve">PLACEHOLDER — confirm; ask if multi-bag orders consolidate</t>
  </si>
  <si>
    <t xml:space="preserve">PATH — landed cost per bag (1-bag order)</t>
  </si>
  <si>
    <t xml:space="preserve">Share of orders fulfilled by Temecula</t>
  </si>
  <si>
    <t xml:space="preserve">Guess until quiz data shows archetype/roastery mix</t>
  </si>
  <si>
    <t xml:space="preserve">Blended landed cost per bag</t>
  </si>
  <si>
    <t xml:space="preserve">OTHER PER-ORDER COSTS</t>
  </si>
  <si>
    <t xml:space="preserve">Payment fee (% of order)</t>
  </si>
  <si>
    <t xml:space="preserve">Stripe/Shopify standard</t>
  </si>
  <si>
    <t xml:space="preserve">Payment fee (fixed per order)</t>
  </si>
  <si>
    <t xml:space="preserve">Personalized label / archetype card / insert</t>
  </si>
  <si>
    <t xml:space="preserve">Confirm who prints the personal label in drop-ship — us or roastery?</t>
  </si>
  <si>
    <t xml:space="preserve">Right Match Promise redemption rate</t>
  </si>
  <si>
    <t xml:space="preserve">Assumed 6% of first orders claim a replacement — track the real number</t>
  </si>
  <si>
    <t xml:space="preserve">Trial size price</t>
  </si>
  <si>
    <t xml:space="preserve">If trial ships — decide at workshop</t>
  </si>
  <si>
    <t xml:space="preserve">Trial landed cost (product + ship + pack)</t>
  </si>
  <si>
    <t xml:space="preserve">Placeholder</t>
  </si>
  <si>
    <t xml:space="preserve">CONTRIBUTION — single bag order (computed)</t>
  </si>
  <si>
    <t xml:space="preserve">Order revenue (bag + shipping charged)</t>
  </si>
  <si>
    <t xml:space="preserve">Payment fees</t>
  </si>
  <si>
    <t xml:space="preserve">Blended landed cost</t>
  </si>
  <si>
    <t xml:space="preserve">Label / card / insert</t>
  </si>
  <si>
    <t xml:space="preserve">Right Match Promise allowance</t>
  </si>
  <si>
    <t xml:space="preserve">Contribution per first order</t>
  </si>
  <si>
    <t xml:space="preserve">Max you could pay to acquire a customer and break even on order #1</t>
  </si>
  <si>
    <t xml:space="preserve">Contribution margin %</t>
  </si>
  <si>
    <t xml:space="preserve">Contribution — Temecula-fulfilled order</t>
  </si>
  <si>
    <t xml:space="preserve">Per-supplier view: margin differs by roastery. Track COGS per blend; NEVER bias matching by margin (brand rule)</t>
  </si>
  <si>
    <t xml:space="preserve">Contribution — PATH-fulfilled order</t>
  </si>
  <si>
    <t xml:space="preserve">Trial order contribution</t>
  </si>
  <si>
    <t xml:space="preserve">Contribution per trial order</t>
  </si>
  <si>
    <t xml:space="preserve">Near-zero is fine — the trial is paid acquisition, cheaper than a discount</t>
  </si>
  <si>
    <t xml:space="preserve">WHAT A CUSTOMER MUST BE WORTH (LTV vs CAC)</t>
  </si>
  <si>
    <t xml:space="preserve">Expected CAC (cost per first order)</t>
  </si>
  <si>
    <t xml:space="preserve">Plan target: under $35–45 by Dec 31</t>
  </si>
  <si>
    <t xml:space="preserve">Subscription take rate (share of customers)</t>
  </si>
  <si>
    <t xml:space="preserve">Dashboard proxy — plan needs &gt;=15%</t>
  </si>
  <si>
    <t xml:space="preserve">Orders per year — subscriber</t>
  </si>
  <si>
    <t xml:space="preserve">e.g. every ~6 weeks</t>
  </si>
  <si>
    <t xml:space="preserve">Orders per year — non-subscriber</t>
  </si>
  <si>
    <t xml:space="preserve">Blended orders per year</t>
  </si>
  <si>
    <t xml:space="preserve">Contribution per year per customer (LTV proxy)</t>
  </si>
  <si>
    <t xml:space="preserve">LTV : CAC ratio</t>
  </si>
  <si>
    <t xml:space="preserve">The plan's rule: must clear 3.0x before scaling November ad spend</t>
  </si>
  <si>
    <t xml:space="preserve">WARNING — two-bag orders split across roasteries ship as TWO shipments (PATH shipping is per shipment). The "two bags" bundle and Duo economics only work if both bags come from the same roastery, or the price absorbs a second shipping fee. Confirm consolidation rules with both roasteries.</t>
  </si>
  <si>
    <t xml:space="preserve">Legend: BLUE = you type it · yellow = workshop decision · black = formula. Sources: supplier costs from Dana (Jul 16, 2026); market reference — My Coffee Explorer 2026 price index (median $18, premium tier $25–40); fee rates = Stripe/Shopify standard.</t>
  </si>
  <si>
    <t xml:space="preserve">LAUNCH WEEK SCENARIOS (Oct 1–7)</t>
  </si>
  <si>
    <t xml:space="preserve">Blue = assumptions. Grid computes orders, revenue, contribution, and CAC for each list-size × conversion combination.</t>
  </si>
  <si>
    <t xml:space="preserve">Pre-launch ad spend (Jul–Sep total)</t>
  </si>
  <si>
    <t xml:space="preserve">Plan guidance: ~$3–5k</t>
  </si>
  <si>
    <t xml:space="preserve">Avg items per order</t>
  </si>
  <si>
    <t xml:space="preserve">Second-bag nudge; NOTE cross-roastery pairs add a 2nd shipping fee</t>
  </si>
  <si>
    <t xml:space="preserve">Contribution per order (linked)</t>
  </si>
  <si>
    <t xml:space="preserve">Avg order value (linked)</t>
  </si>
  <si>
    <t xml:space="preserve">Orders (launch week)</t>
  </si>
  <si>
    <t xml:space="preserve">List size ↓ / Conversion →</t>
  </si>
  <si>
    <t xml:space="preserve">Revenue (launch week)</t>
  </si>
  <si>
    <t xml:space="preserve">Contribution (launch week, before ad spend)</t>
  </si>
  <si>
    <t xml:space="preserve">CAC — pre-launch spend ÷ launch-week customers</t>
  </si>
  <si>
    <t xml:space="preserve">How to read: find your row (realistic list size) and column (conversion). If CAC in the bottom grid exceeds contribution per order (B6), launch week loses money on first orders — acceptable ONLY if the LTV:CAC ratio on the Inputs sheet clears 3.0x.</t>
  </si>
</sst>
</file>

<file path=xl/styles.xml><?xml version="1.0" encoding="utf-8"?>
<styleSheet xmlns="http://schemas.openxmlformats.org/spreadsheetml/2006/main">
  <numFmts count="8">
    <numFmt numFmtId="164" formatCode="General"/>
    <numFmt numFmtId="165" formatCode="\$#,##0.00;&quot;($&quot;#,##0.00\);\-"/>
    <numFmt numFmtId="166" formatCode="0.0%"/>
    <numFmt numFmtId="167" formatCode="0"/>
    <numFmt numFmtId="168" formatCode="0.0"/>
    <numFmt numFmtId="169" formatCode="0.0\x"/>
    <numFmt numFmtId="170" formatCode="\$#,##0;&quot;($&quot;#,##0\);\-"/>
    <numFmt numFmtId="171" formatCode="#,##0"/>
  </numFmts>
  <fonts count="12">
    <font>
      <sz val="11"/>
      <color theme="1"/>
      <name val="Calibri"/>
      <family val="2"/>
      <charset val="1"/>
    </font>
    <font>
      <sz val="10"/>
      <name val="Arial"/>
      <family val="0"/>
    </font>
    <font>
      <sz val="10"/>
      <name val="Arial"/>
      <family val="0"/>
    </font>
    <font>
      <sz val="10"/>
      <name val="Arial"/>
      <family val="0"/>
    </font>
    <font>
      <b val="true"/>
      <sz val="13"/>
      <color rgb="FFB0532B"/>
      <name val="Arial"/>
      <family val="0"/>
      <charset val="1"/>
    </font>
    <font>
      <i val="true"/>
      <sz val="9"/>
      <color rgb="FF6B6560"/>
      <name val="Arial"/>
      <family val="0"/>
      <charset val="1"/>
    </font>
    <font>
      <b val="true"/>
      <sz val="11"/>
      <name val="Arial"/>
      <family val="0"/>
      <charset val="1"/>
    </font>
    <font>
      <sz val="10"/>
      <name val="Arial"/>
      <family val="0"/>
      <charset val="1"/>
    </font>
    <font>
      <sz val="10"/>
      <color rgb="FF0000FF"/>
      <name val="Arial"/>
      <family val="0"/>
      <charset val="1"/>
    </font>
    <font>
      <b val="true"/>
      <sz val="10"/>
      <name val="Arial"/>
      <family val="0"/>
      <charset val="1"/>
    </font>
    <font>
      <i val="true"/>
      <sz val="9"/>
      <color rgb="FFB0532B"/>
      <name val="Arial"/>
      <family val="0"/>
      <charset val="1"/>
    </font>
    <font>
      <sz val="10"/>
      <color rgb="FF008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F2EEE6"/>
        <bgColor rgb="FFFFFF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8" fillId="2"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EEE6"/>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560"/>
      <rgbColor rgb="FF969696"/>
      <rgbColor rgb="FF003366"/>
      <rgbColor rgb="FF339966"/>
      <rgbColor rgb="FF003300"/>
      <rgbColor rgb="FF333300"/>
      <rgbColor rgb="FFB053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4"/>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v>34</v>
      </c>
      <c r="C5" s="2" t="s">
        <v>4</v>
      </c>
    </row>
    <row r="6" customFormat="false" ht="15" hidden="false" customHeight="false" outlineLevel="0" collapsed="false">
      <c r="A6" s="4" t="s">
        <v>5</v>
      </c>
      <c r="B6" s="5" t="n">
        <v>0</v>
      </c>
      <c r="C6" s="2" t="s">
        <v>6</v>
      </c>
    </row>
    <row r="8" customFormat="false" ht="15" hidden="false" customHeight="false" outlineLevel="0" collapsed="false">
      <c r="A8" s="3" t="s">
        <v>7</v>
      </c>
    </row>
    <row r="9" customFormat="false" ht="15" hidden="false" customHeight="false" outlineLevel="0" collapsed="false">
      <c r="A9" s="4" t="s">
        <v>8</v>
      </c>
      <c r="B9" s="6" t="n">
        <v>15.5</v>
      </c>
      <c r="C9" s="2" t="s">
        <v>9</v>
      </c>
    </row>
    <row r="10" customFormat="false" ht="15" hidden="false" customHeight="false" outlineLevel="0" collapsed="false">
      <c r="A10" s="4" t="s">
        <v>10</v>
      </c>
      <c r="B10" s="5" t="n">
        <v>12</v>
      </c>
      <c r="C10" s="2" t="s">
        <v>11</v>
      </c>
    </row>
    <row r="11" customFormat="false" ht="15" hidden="false" customHeight="false" outlineLevel="0" collapsed="false">
      <c r="A11" s="4" t="s">
        <v>12</v>
      </c>
      <c r="B11" s="5" t="n">
        <v>7</v>
      </c>
      <c r="C11" s="2" t="s">
        <v>13</v>
      </c>
    </row>
    <row r="12" customFormat="false" ht="15" hidden="false" customHeight="false" outlineLevel="0" collapsed="false">
      <c r="A12" s="0" t="s">
        <v>14</v>
      </c>
      <c r="B12" s="7" t="n">
        <f aca="false">B10+B11</f>
        <v>19</v>
      </c>
    </row>
    <row r="13" customFormat="false" ht="15" hidden="false" customHeight="false" outlineLevel="0" collapsed="false">
      <c r="A13" s="4" t="s">
        <v>15</v>
      </c>
      <c r="B13" s="8" t="n">
        <v>0.5</v>
      </c>
      <c r="C13" s="2" t="s">
        <v>16</v>
      </c>
    </row>
    <row r="14" customFormat="false" ht="15" hidden="false" customHeight="false" outlineLevel="0" collapsed="false">
      <c r="A14" s="0" t="s">
        <v>17</v>
      </c>
      <c r="B14" s="9" t="n">
        <f aca="false">B13*B9+(1-B13)*B12</f>
        <v>17.25</v>
      </c>
    </row>
    <row r="16" customFormat="false" ht="15" hidden="false" customHeight="false" outlineLevel="0" collapsed="false">
      <c r="A16" s="3" t="s">
        <v>18</v>
      </c>
    </row>
    <row r="17" customFormat="false" ht="15" hidden="false" customHeight="false" outlineLevel="0" collapsed="false">
      <c r="A17" s="4" t="s">
        <v>19</v>
      </c>
      <c r="B17" s="8" t="n">
        <v>0.029</v>
      </c>
      <c r="C17" s="2" t="s">
        <v>20</v>
      </c>
    </row>
    <row r="18" customFormat="false" ht="15" hidden="false" customHeight="false" outlineLevel="0" collapsed="false">
      <c r="A18" s="4" t="s">
        <v>21</v>
      </c>
      <c r="B18" s="6" t="n">
        <v>0.3</v>
      </c>
    </row>
    <row r="19" customFormat="false" ht="15" hidden="false" customHeight="false" outlineLevel="0" collapsed="false">
      <c r="A19" s="4" t="s">
        <v>22</v>
      </c>
      <c r="B19" s="5" t="n">
        <v>1.5</v>
      </c>
      <c r="C19" s="2" t="s">
        <v>23</v>
      </c>
    </row>
    <row r="20" customFormat="false" ht="15" hidden="false" customHeight="false" outlineLevel="0" collapsed="false">
      <c r="A20" s="4" t="s">
        <v>24</v>
      </c>
      <c r="B20" s="10" t="n">
        <v>0.06</v>
      </c>
      <c r="C20" s="2" t="s">
        <v>25</v>
      </c>
    </row>
    <row r="21" customFormat="false" ht="15" hidden="false" customHeight="false" outlineLevel="0" collapsed="false">
      <c r="A21" s="4" t="s">
        <v>26</v>
      </c>
      <c r="B21" s="5" t="n">
        <v>12</v>
      </c>
      <c r="C21" s="2" t="s">
        <v>27</v>
      </c>
    </row>
    <row r="22" customFormat="false" ht="15" hidden="false" customHeight="false" outlineLevel="0" collapsed="false">
      <c r="A22" s="4" t="s">
        <v>28</v>
      </c>
      <c r="B22" s="5" t="n">
        <v>9</v>
      </c>
      <c r="C22" s="2" t="s">
        <v>29</v>
      </c>
    </row>
    <row r="24" customFormat="false" ht="15" hidden="false" customHeight="false" outlineLevel="0" collapsed="false">
      <c r="A24" s="3" t="s">
        <v>30</v>
      </c>
    </row>
    <row r="25" customFormat="false" ht="15" hidden="false" customHeight="false" outlineLevel="0" collapsed="false">
      <c r="A25" s="0" t="s">
        <v>31</v>
      </c>
      <c r="B25" s="7" t="n">
        <f aca="false">B5+B6</f>
        <v>34</v>
      </c>
    </row>
    <row r="26" customFormat="false" ht="15" hidden="false" customHeight="false" outlineLevel="0" collapsed="false">
      <c r="A26" s="0" t="s">
        <v>32</v>
      </c>
      <c r="B26" s="7" t="n">
        <f aca="false">-(B25*B17+B18)</f>
        <v>-1.286</v>
      </c>
    </row>
    <row r="27" customFormat="false" ht="15" hidden="false" customHeight="false" outlineLevel="0" collapsed="false">
      <c r="A27" s="0" t="s">
        <v>33</v>
      </c>
      <c r="B27" s="7" t="n">
        <f aca="false">-B14</f>
        <v>-17.25</v>
      </c>
    </row>
    <row r="28" customFormat="false" ht="15" hidden="false" customHeight="false" outlineLevel="0" collapsed="false">
      <c r="A28" s="0" t="s">
        <v>34</v>
      </c>
      <c r="B28" s="7" t="n">
        <f aca="false">-B19</f>
        <v>-1.5</v>
      </c>
    </row>
    <row r="29" customFormat="false" ht="15" hidden="false" customHeight="false" outlineLevel="0" collapsed="false">
      <c r="A29" s="0" t="s">
        <v>35</v>
      </c>
      <c r="B29" s="7" t="n">
        <f aca="false">-B20*B14</f>
        <v>-1.035</v>
      </c>
    </row>
    <row r="30" customFormat="false" ht="15" hidden="false" customHeight="false" outlineLevel="0" collapsed="false">
      <c r="A30" s="0" t="s">
        <v>36</v>
      </c>
      <c r="B30" s="9" t="n">
        <f aca="false">SUM(B25:B29)</f>
        <v>12.929</v>
      </c>
      <c r="C30" s="2" t="s">
        <v>37</v>
      </c>
    </row>
    <row r="31" customFormat="false" ht="15" hidden="false" customHeight="false" outlineLevel="0" collapsed="false">
      <c r="A31" s="0" t="s">
        <v>38</v>
      </c>
      <c r="B31" s="11" t="n">
        <f aca="false">IF(B25=0,0,B30/B25)</f>
        <v>0.380264705882353</v>
      </c>
    </row>
    <row r="33" customFormat="false" ht="15" hidden="false" customHeight="false" outlineLevel="0" collapsed="false">
      <c r="A33" s="0" t="s">
        <v>39</v>
      </c>
      <c r="B33" s="7" t="n">
        <f aca="false">B25-(B25*B17+B18)-B9-B19-B20*B9</f>
        <v>14.784</v>
      </c>
      <c r="C33" s="2" t="s">
        <v>40</v>
      </c>
    </row>
    <row r="34" customFormat="false" ht="15" hidden="false" customHeight="false" outlineLevel="0" collapsed="false">
      <c r="A34" s="0" t="s">
        <v>41</v>
      </c>
      <c r="B34" s="7" t="n">
        <f aca="false">B25-(B25*B17+B18)-B12-B19-B20*B12</f>
        <v>11.074</v>
      </c>
    </row>
    <row r="36" customFormat="false" ht="15" hidden="false" customHeight="false" outlineLevel="0" collapsed="false">
      <c r="A36" s="3" t="s">
        <v>42</v>
      </c>
    </row>
    <row r="37" customFormat="false" ht="15" hidden="false" customHeight="false" outlineLevel="0" collapsed="false">
      <c r="A37" s="0" t="s">
        <v>43</v>
      </c>
      <c r="B37" s="9" t="n">
        <f aca="false">B21-B22-(B21*B17+B18)</f>
        <v>2.352</v>
      </c>
      <c r="C37" s="2" t="s">
        <v>44</v>
      </c>
    </row>
    <row r="39" customFormat="false" ht="15" hidden="false" customHeight="false" outlineLevel="0" collapsed="false">
      <c r="A39" s="3" t="s">
        <v>45</v>
      </c>
    </row>
    <row r="40" customFormat="false" ht="15" hidden="false" customHeight="false" outlineLevel="0" collapsed="false">
      <c r="A40" s="4" t="s">
        <v>46</v>
      </c>
      <c r="B40" s="5" t="n">
        <v>40</v>
      </c>
      <c r="C40" s="2" t="s">
        <v>47</v>
      </c>
    </row>
    <row r="41" customFormat="false" ht="15" hidden="false" customHeight="false" outlineLevel="0" collapsed="false">
      <c r="A41" s="4" t="s">
        <v>48</v>
      </c>
      <c r="B41" s="10" t="n">
        <v>0.2</v>
      </c>
      <c r="C41" s="2" t="s">
        <v>49</v>
      </c>
    </row>
    <row r="42" customFormat="false" ht="15" hidden="false" customHeight="false" outlineLevel="0" collapsed="false">
      <c r="A42" s="4" t="s">
        <v>50</v>
      </c>
      <c r="B42" s="12" t="n">
        <v>9</v>
      </c>
      <c r="C42" s="2" t="s">
        <v>51</v>
      </c>
    </row>
    <row r="43" customFormat="false" ht="15" hidden="false" customHeight="false" outlineLevel="0" collapsed="false">
      <c r="A43" s="4" t="s">
        <v>52</v>
      </c>
      <c r="B43" s="13" t="n">
        <v>2.5</v>
      </c>
    </row>
    <row r="44" customFormat="false" ht="15" hidden="false" customHeight="false" outlineLevel="0" collapsed="false">
      <c r="A44" s="0" t="s">
        <v>53</v>
      </c>
      <c r="B44" s="14" t="n">
        <f aca="false">B41*B42+(1-B41)*B43</f>
        <v>3.8</v>
      </c>
    </row>
    <row r="45" customFormat="false" ht="15" hidden="false" customHeight="false" outlineLevel="0" collapsed="false">
      <c r="A45" s="0" t="s">
        <v>54</v>
      </c>
      <c r="B45" s="7" t="n">
        <f aca="false">B44*B30</f>
        <v>49.1302</v>
      </c>
    </row>
    <row r="46" customFormat="false" ht="15" hidden="false" customHeight="false" outlineLevel="0" collapsed="false">
      <c r="A46" s="0" t="s">
        <v>55</v>
      </c>
      <c r="B46" s="15" t="n">
        <f aca="false">IF(B40=0,0,B45/B40)</f>
        <v>1.228255</v>
      </c>
      <c r="C46" s="2" t="s">
        <v>56</v>
      </c>
    </row>
    <row r="48" customFormat="false" ht="15" hidden="false" customHeight="false" outlineLevel="0" collapsed="false">
      <c r="A48" s="16" t="s">
        <v>57</v>
      </c>
    </row>
    <row r="50" customFormat="false" ht="15" hidden="false" customHeight="false" outlineLevel="0" collapsed="false">
      <c r="A50" s="2"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7" min="2" style="0" width="15"/>
  </cols>
  <sheetData>
    <row r="1" customFormat="false" ht="16.15" hidden="false" customHeight="false" outlineLevel="0" collapsed="false">
      <c r="A1" s="1" t="s">
        <v>59</v>
      </c>
    </row>
    <row r="2" customFormat="false" ht="15" hidden="false" customHeight="false" outlineLevel="0" collapsed="false">
      <c r="A2" s="2" t="s">
        <v>60</v>
      </c>
    </row>
    <row r="4" customFormat="false" ht="15" hidden="false" customHeight="false" outlineLevel="0" collapsed="false">
      <c r="A4" s="0" t="s">
        <v>61</v>
      </c>
      <c r="B4" s="17" t="n">
        <v>4000</v>
      </c>
      <c r="C4" s="2" t="s">
        <v>62</v>
      </c>
    </row>
    <row r="5" customFormat="false" ht="15" hidden="false" customHeight="false" outlineLevel="0" collapsed="false">
      <c r="A5" s="0" t="s">
        <v>63</v>
      </c>
      <c r="B5" s="13" t="n">
        <v>1.2</v>
      </c>
      <c r="C5" s="2" t="s">
        <v>64</v>
      </c>
    </row>
    <row r="6" customFormat="false" ht="15" hidden="false" customHeight="false" outlineLevel="0" collapsed="false">
      <c r="A6" s="0" t="s">
        <v>65</v>
      </c>
      <c r="B6" s="18" t="n">
        <f aca="false">'Inputs &amp; Margin'!B30*B5</f>
        <v>15.5148</v>
      </c>
    </row>
    <row r="7" customFormat="false" ht="15" hidden="false" customHeight="false" outlineLevel="0" collapsed="false">
      <c r="A7" s="0" t="s">
        <v>66</v>
      </c>
      <c r="B7" s="18" t="n">
        <f aca="false">('Inputs &amp; Margin'!B5*B5)+'Inputs &amp; Margin'!B6</f>
        <v>40.8</v>
      </c>
    </row>
    <row r="9" customFormat="false" ht="15" hidden="false" customHeight="false" outlineLevel="0" collapsed="false">
      <c r="A9" s="3" t="s">
        <v>67</v>
      </c>
    </row>
    <row r="10" customFormat="false" ht="15" hidden="false" customHeight="false" outlineLevel="0" collapsed="false">
      <c r="A10" s="19" t="s">
        <v>68</v>
      </c>
      <c r="B10" s="11" t="n">
        <v>0.04</v>
      </c>
      <c r="C10" s="11" t="n">
        <v>0.06</v>
      </c>
      <c r="D10" s="11" t="n">
        <v>0.08</v>
      </c>
      <c r="E10" s="11" t="n">
        <v>0.1</v>
      </c>
    </row>
    <row r="11" customFormat="false" ht="15" hidden="false" customHeight="false" outlineLevel="0" collapsed="false">
      <c r="A11" s="20" t="n">
        <v>800</v>
      </c>
      <c r="B11" s="21" t="n">
        <f aca="false">$A11*B$10</f>
        <v>32</v>
      </c>
      <c r="C11" s="21" t="n">
        <f aca="false">$A11*C$10</f>
        <v>48</v>
      </c>
      <c r="D11" s="21" t="n">
        <f aca="false">$A11*D$10</f>
        <v>64</v>
      </c>
      <c r="E11" s="21" t="n">
        <f aca="false">$A11*E$10</f>
        <v>80</v>
      </c>
    </row>
    <row r="12" customFormat="false" ht="15" hidden="false" customHeight="false" outlineLevel="0" collapsed="false">
      <c r="A12" s="20" t="n">
        <v>1200</v>
      </c>
      <c r="B12" s="21" t="n">
        <f aca="false">$A12*B$10</f>
        <v>48</v>
      </c>
      <c r="C12" s="21" t="n">
        <f aca="false">$A12*C$10</f>
        <v>72</v>
      </c>
      <c r="D12" s="21" t="n">
        <f aca="false">$A12*D$10</f>
        <v>96</v>
      </c>
      <c r="E12" s="21" t="n">
        <f aca="false">$A12*E$10</f>
        <v>120</v>
      </c>
    </row>
    <row r="13" customFormat="false" ht="15" hidden="false" customHeight="false" outlineLevel="0" collapsed="false">
      <c r="A13" s="20" t="n">
        <v>2000</v>
      </c>
      <c r="B13" s="21" t="n">
        <f aca="false">$A13*B$10</f>
        <v>80</v>
      </c>
      <c r="C13" s="21" t="n">
        <f aca="false">$A13*C$10</f>
        <v>120</v>
      </c>
      <c r="D13" s="21" t="n">
        <f aca="false">$A13*D$10</f>
        <v>160</v>
      </c>
      <c r="E13" s="21" t="n">
        <f aca="false">$A13*E$10</f>
        <v>200</v>
      </c>
    </row>
    <row r="14" customFormat="false" ht="15" hidden="false" customHeight="false" outlineLevel="0" collapsed="false">
      <c r="A14" s="20" t="n">
        <v>3000</v>
      </c>
      <c r="B14" s="21" t="n">
        <f aca="false">$A14*B$10</f>
        <v>120</v>
      </c>
      <c r="C14" s="21" t="n">
        <f aca="false">$A14*C$10</f>
        <v>180</v>
      </c>
      <c r="D14" s="21" t="n">
        <f aca="false">$A14*D$10</f>
        <v>240</v>
      </c>
      <c r="E14" s="21" t="n">
        <f aca="false">$A14*E$10</f>
        <v>300</v>
      </c>
    </row>
    <row r="16" customFormat="false" ht="15" hidden="false" customHeight="false" outlineLevel="0" collapsed="false">
      <c r="A16" s="3" t="s">
        <v>69</v>
      </c>
    </row>
    <row r="17" customFormat="false" ht="15" hidden="false" customHeight="false" outlineLevel="0" collapsed="false">
      <c r="A17" s="19" t="s">
        <v>68</v>
      </c>
      <c r="B17" s="11" t="n">
        <v>0.04</v>
      </c>
      <c r="C17" s="11" t="n">
        <v>0.06</v>
      </c>
      <c r="D17" s="11" t="n">
        <v>0.08</v>
      </c>
      <c r="E17" s="11" t="n">
        <v>0.1</v>
      </c>
    </row>
    <row r="18" customFormat="false" ht="15" hidden="false" customHeight="false" outlineLevel="0" collapsed="false">
      <c r="A18" s="20" t="n">
        <v>800</v>
      </c>
      <c r="B18" s="22" t="n">
        <f aca="false">$A18*B$17*$B$7</f>
        <v>1305.6</v>
      </c>
      <c r="C18" s="22" t="n">
        <f aca="false">$A18*C$17*$B$7</f>
        <v>1958.4</v>
      </c>
      <c r="D18" s="22" t="n">
        <f aca="false">$A18*D$17*$B$7</f>
        <v>2611.2</v>
      </c>
      <c r="E18" s="22" t="n">
        <f aca="false">$A18*E$17*$B$7</f>
        <v>3264</v>
      </c>
    </row>
    <row r="19" customFormat="false" ht="15" hidden="false" customHeight="false" outlineLevel="0" collapsed="false">
      <c r="A19" s="20" t="n">
        <v>1200</v>
      </c>
      <c r="B19" s="22" t="n">
        <f aca="false">$A19*B$17*$B$7</f>
        <v>1958.4</v>
      </c>
      <c r="C19" s="22" t="n">
        <f aca="false">$A19*C$17*$B$7</f>
        <v>2937.6</v>
      </c>
      <c r="D19" s="22" t="n">
        <f aca="false">$A19*D$17*$B$7</f>
        <v>3916.8</v>
      </c>
      <c r="E19" s="22" t="n">
        <f aca="false">$A19*E$17*$B$7</f>
        <v>4896</v>
      </c>
    </row>
    <row r="20" customFormat="false" ht="15" hidden="false" customHeight="false" outlineLevel="0" collapsed="false">
      <c r="A20" s="20" t="n">
        <v>2000</v>
      </c>
      <c r="B20" s="22" t="n">
        <f aca="false">$A20*B$17*$B$7</f>
        <v>3264</v>
      </c>
      <c r="C20" s="22" t="n">
        <f aca="false">$A20*C$17*$B$7</f>
        <v>4896</v>
      </c>
      <c r="D20" s="22" t="n">
        <f aca="false">$A20*D$17*$B$7</f>
        <v>6528</v>
      </c>
      <c r="E20" s="22" t="n">
        <f aca="false">$A20*E$17*$B$7</f>
        <v>8160</v>
      </c>
    </row>
    <row r="21" customFormat="false" ht="15" hidden="false" customHeight="false" outlineLevel="0" collapsed="false">
      <c r="A21" s="20" t="n">
        <v>3000</v>
      </c>
      <c r="B21" s="22" t="n">
        <f aca="false">$A21*B$17*$B$7</f>
        <v>4896</v>
      </c>
      <c r="C21" s="22" t="n">
        <f aca="false">$A21*C$17*$B$7</f>
        <v>7344</v>
      </c>
      <c r="D21" s="22" t="n">
        <f aca="false">$A21*D$17*$B$7</f>
        <v>9792</v>
      </c>
      <c r="E21" s="22" t="n">
        <f aca="false">$A21*E$17*$B$7</f>
        <v>12240</v>
      </c>
    </row>
    <row r="23" customFormat="false" ht="15" hidden="false" customHeight="false" outlineLevel="0" collapsed="false">
      <c r="A23" s="3" t="s">
        <v>70</v>
      </c>
    </row>
    <row r="24" customFormat="false" ht="15" hidden="false" customHeight="false" outlineLevel="0" collapsed="false">
      <c r="A24" s="19" t="s">
        <v>68</v>
      </c>
      <c r="B24" s="11" t="n">
        <v>0.04</v>
      </c>
      <c r="C24" s="11" t="n">
        <v>0.06</v>
      </c>
      <c r="D24" s="11" t="n">
        <v>0.08</v>
      </c>
      <c r="E24" s="11" t="n">
        <v>0.1</v>
      </c>
    </row>
    <row r="25" customFormat="false" ht="15" hidden="false" customHeight="false" outlineLevel="0" collapsed="false">
      <c r="A25" s="20" t="n">
        <v>800</v>
      </c>
      <c r="B25" s="22" t="n">
        <f aca="false">$A25*B$24*$B$6</f>
        <v>496.4736</v>
      </c>
      <c r="C25" s="22" t="n">
        <f aca="false">$A25*C$24*$B$6</f>
        <v>744.7104</v>
      </c>
      <c r="D25" s="22" t="n">
        <f aca="false">$A25*D$24*$B$6</f>
        <v>992.9472</v>
      </c>
      <c r="E25" s="22" t="n">
        <f aca="false">$A25*E$24*$B$6</f>
        <v>1241.184</v>
      </c>
    </row>
    <row r="26" customFormat="false" ht="15" hidden="false" customHeight="false" outlineLevel="0" collapsed="false">
      <c r="A26" s="20" t="n">
        <v>1200</v>
      </c>
      <c r="B26" s="22" t="n">
        <f aca="false">$A26*B$24*$B$6</f>
        <v>744.7104</v>
      </c>
      <c r="C26" s="22" t="n">
        <f aca="false">$A26*C$24*$B$6</f>
        <v>1117.0656</v>
      </c>
      <c r="D26" s="22" t="n">
        <f aca="false">$A26*D$24*$B$6</f>
        <v>1489.4208</v>
      </c>
      <c r="E26" s="22" t="n">
        <f aca="false">$A26*E$24*$B$6</f>
        <v>1861.776</v>
      </c>
    </row>
    <row r="27" customFormat="false" ht="15" hidden="false" customHeight="false" outlineLevel="0" collapsed="false">
      <c r="A27" s="20" t="n">
        <v>2000</v>
      </c>
      <c r="B27" s="22" t="n">
        <f aca="false">$A27*B$24*$B$6</f>
        <v>1241.184</v>
      </c>
      <c r="C27" s="22" t="n">
        <f aca="false">$A27*C$24*$B$6</f>
        <v>1861.776</v>
      </c>
      <c r="D27" s="22" t="n">
        <f aca="false">$A27*D$24*$B$6</f>
        <v>2482.368</v>
      </c>
      <c r="E27" s="22" t="n">
        <f aca="false">$A27*E$24*$B$6</f>
        <v>3102.96</v>
      </c>
    </row>
    <row r="28" customFormat="false" ht="15" hidden="false" customHeight="false" outlineLevel="0" collapsed="false">
      <c r="A28" s="20" t="n">
        <v>3000</v>
      </c>
      <c r="B28" s="22" t="n">
        <f aca="false">$A28*B$24*$B$6</f>
        <v>1861.776</v>
      </c>
      <c r="C28" s="22" t="n">
        <f aca="false">$A28*C$24*$B$6</f>
        <v>2792.664</v>
      </c>
      <c r="D28" s="22" t="n">
        <f aca="false">$A28*D$24*$B$6</f>
        <v>3723.552</v>
      </c>
      <c r="E28" s="22" t="n">
        <f aca="false">$A28*E$24*$B$6</f>
        <v>4654.44</v>
      </c>
    </row>
    <row r="30" customFormat="false" ht="15" hidden="false" customHeight="false" outlineLevel="0" collapsed="false">
      <c r="A30" s="3" t="s">
        <v>71</v>
      </c>
    </row>
    <row r="31" customFormat="false" ht="15" hidden="false" customHeight="false" outlineLevel="0" collapsed="false">
      <c r="A31" s="19" t="s">
        <v>68</v>
      </c>
      <c r="B31" s="11" t="n">
        <v>0.04</v>
      </c>
      <c r="C31" s="11" t="n">
        <v>0.06</v>
      </c>
      <c r="D31" s="11" t="n">
        <v>0.08</v>
      </c>
      <c r="E31" s="11" t="n">
        <v>0.1</v>
      </c>
    </row>
    <row r="32" customFormat="false" ht="15" hidden="false" customHeight="false" outlineLevel="0" collapsed="false">
      <c r="A32" s="20" t="n">
        <v>800</v>
      </c>
      <c r="B32" s="22" t="n">
        <f aca="false">IF($A32*B$31=0,0,$B$4/($A32*B$31))</f>
        <v>125</v>
      </c>
      <c r="C32" s="22" t="n">
        <f aca="false">IF($A32*C$31=0,0,$B$4/($A32*C$31))</f>
        <v>83.3333333333333</v>
      </c>
      <c r="D32" s="22" t="n">
        <f aca="false">IF($A32*D$31=0,0,$B$4/($A32*D$31))</f>
        <v>62.5</v>
      </c>
      <c r="E32" s="22" t="n">
        <f aca="false">IF($A32*E$31=0,0,$B$4/($A32*E$31))</f>
        <v>50</v>
      </c>
    </row>
    <row r="33" customFormat="false" ht="15" hidden="false" customHeight="false" outlineLevel="0" collapsed="false">
      <c r="A33" s="20" t="n">
        <v>1200</v>
      </c>
      <c r="B33" s="22" t="n">
        <f aca="false">IF($A33*B$31=0,0,$B$4/($A33*B$31))</f>
        <v>83.3333333333333</v>
      </c>
      <c r="C33" s="22" t="n">
        <f aca="false">IF($A33*C$31=0,0,$B$4/($A33*C$31))</f>
        <v>55.5555555555556</v>
      </c>
      <c r="D33" s="22" t="n">
        <f aca="false">IF($A33*D$31=0,0,$B$4/($A33*D$31))</f>
        <v>41.6666666666667</v>
      </c>
      <c r="E33" s="22" t="n">
        <f aca="false">IF($A33*E$31=0,0,$B$4/($A33*E$31))</f>
        <v>33.3333333333333</v>
      </c>
    </row>
    <row r="34" customFormat="false" ht="15" hidden="false" customHeight="false" outlineLevel="0" collapsed="false">
      <c r="A34" s="20" t="n">
        <v>2000</v>
      </c>
      <c r="B34" s="22" t="n">
        <f aca="false">IF($A34*B$31=0,0,$B$4/($A34*B$31))</f>
        <v>50</v>
      </c>
      <c r="C34" s="22" t="n">
        <f aca="false">IF($A34*C$31=0,0,$B$4/($A34*C$31))</f>
        <v>33.3333333333333</v>
      </c>
      <c r="D34" s="22" t="n">
        <f aca="false">IF($A34*D$31=0,0,$B$4/($A34*D$31))</f>
        <v>25</v>
      </c>
      <c r="E34" s="22" t="n">
        <f aca="false">IF($A34*E$31=0,0,$B$4/($A34*E$31))</f>
        <v>20</v>
      </c>
    </row>
    <row r="35" customFormat="false" ht="15" hidden="false" customHeight="false" outlineLevel="0" collapsed="false">
      <c r="A35" s="20" t="n">
        <v>3000</v>
      </c>
      <c r="B35" s="22" t="n">
        <f aca="false">IF($A35*B$31=0,0,$B$4/($A35*B$31))</f>
        <v>33.3333333333333</v>
      </c>
      <c r="C35" s="22" t="n">
        <f aca="false">IF($A35*C$31=0,0,$B$4/($A35*C$31))</f>
        <v>22.2222222222222</v>
      </c>
      <c r="D35" s="22" t="n">
        <f aca="false">IF($A35*D$31=0,0,$B$4/($A35*D$31))</f>
        <v>16.6666666666667</v>
      </c>
      <c r="E35" s="22" t="n">
        <f aca="false">IF($A35*E$31=0,0,$B$4/($A35*E$31))</f>
        <v>13.3333333333333</v>
      </c>
    </row>
    <row r="37" customFormat="false" ht="15" hidden="false" customHeight="false" outlineLevel="0" collapsed="false">
      <c r="A37"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2026-07-16T22:54:34Z</dcterms:created>
  <dc:creator>openpyxl</dc:creator>
  <dc:description/>
  <dc:language>en-US</dc:language>
  <cp:lastModifiedBy/>
  <dcterms:modified xsi:type="dcterms:W3CDTF">2026-07-16T22:54:34Z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